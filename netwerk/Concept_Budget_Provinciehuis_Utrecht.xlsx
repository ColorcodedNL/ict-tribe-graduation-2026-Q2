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flane1nl.sharepoint.com/sites/ICTTribe2026Q1/Gedeelde documenten/Project 1 - SLTN/1.Project SLTN/Eindbestanden/"/>
    </mc:Choice>
  </mc:AlternateContent>
  <xr:revisionPtr revIDLastSave="310" documentId="11_F1536162AB788319BE300040898834E4785192EE" xr6:coauthVersionLast="47" xr6:coauthVersionMax="47" xr10:uidLastSave="{BCEA33CF-2F6E-8B4D-B4F5-9A96385B3F4E}"/>
  <bookViews>
    <workbookView xWindow="0" yWindow="780" windowWidth="41120" windowHeight="25800" tabRatio="500" activeTab="2" xr2:uid="{00000000-000D-0000-FFFF-FFFF00000000}"/>
  </bookViews>
  <sheets>
    <sheet name="CAPEX -- Hardware" sheetId="1" r:id="rId1"/>
    <sheet name="OPEX -- Licenties" sheetId="2" r:id="rId2"/>
    <sheet name="Samenvatting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2" l="1"/>
  <c r="F15" i="2" s="1"/>
  <c r="F14" i="2"/>
  <c r="E14" i="2"/>
  <c r="E13" i="2"/>
  <c r="F13" i="2" s="1"/>
  <c r="F12" i="2"/>
  <c r="G12" i="2" s="1"/>
  <c r="H12" i="2" s="1"/>
  <c r="E12" i="2"/>
  <c r="G11" i="2"/>
  <c r="F11" i="2"/>
  <c r="H11" i="2" s="1"/>
  <c r="E11" i="2"/>
  <c r="F10" i="2"/>
  <c r="E10" i="2"/>
  <c r="E9" i="2"/>
  <c r="F9" i="2" s="1"/>
  <c r="F8" i="2"/>
  <c r="G8" i="2" s="1"/>
  <c r="H8" i="2" s="1"/>
  <c r="E8" i="2"/>
  <c r="F7" i="2"/>
  <c r="E7" i="2"/>
  <c r="F6" i="2"/>
  <c r="E6" i="2"/>
  <c r="E5" i="2"/>
  <c r="F5" i="2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F18" i="1" l="1"/>
  <c r="B4" i="3" s="1"/>
  <c r="G5" i="1"/>
  <c r="H5" i="1"/>
  <c r="G9" i="2"/>
  <c r="H9" i="2" s="1"/>
  <c r="G10" i="1"/>
  <c r="H10" i="1" s="1"/>
  <c r="G11" i="1"/>
  <c r="H11" i="1" s="1"/>
  <c r="G12" i="1"/>
  <c r="H12" i="1" s="1"/>
  <c r="G14" i="1"/>
  <c r="H14" i="1" s="1"/>
  <c r="G13" i="1"/>
  <c r="H13" i="1" s="1"/>
  <c r="H6" i="1"/>
  <c r="G6" i="1"/>
  <c r="G8" i="1"/>
  <c r="H8" i="1" s="1"/>
  <c r="G15" i="1"/>
  <c r="H15" i="1" s="1"/>
  <c r="H14" i="2"/>
  <c r="G7" i="1"/>
  <c r="H7" i="1" s="1"/>
  <c r="G9" i="1"/>
  <c r="H9" i="1"/>
  <c r="G16" i="1"/>
  <c r="H16" i="1" s="1"/>
  <c r="G13" i="2"/>
  <c r="H13" i="2" s="1"/>
  <c r="F17" i="2"/>
  <c r="G5" i="2"/>
  <c r="G15" i="2"/>
  <c r="H15" i="2" s="1"/>
  <c r="G14" i="2"/>
  <c r="G6" i="2"/>
  <c r="H6" i="2" s="1"/>
  <c r="G10" i="2"/>
  <c r="H10" i="2" s="1"/>
  <c r="G7" i="2"/>
  <c r="H7" i="2" s="1"/>
  <c r="F18" i="2" l="1"/>
  <c r="B6" i="3" s="1"/>
  <c r="B5" i="3"/>
  <c r="B8" i="3" s="1"/>
  <c r="H18" i="1"/>
  <c r="D4" i="3" s="1"/>
  <c r="G17" i="2"/>
  <c r="H5" i="2"/>
  <c r="H17" i="2" s="1"/>
  <c r="G18" i="1"/>
  <c r="C4" i="3" s="1"/>
  <c r="H18" i="2" l="1"/>
  <c r="D6" i="3" s="1"/>
  <c r="D5" i="3"/>
  <c r="D8" i="3" s="1"/>
  <c r="G18" i="2"/>
  <c r="C6" i="3" s="1"/>
  <c r="C5" i="3"/>
  <c r="C8" i="3" s="1"/>
</calcChain>
</file>

<file path=xl/sharedStrings.xml><?xml version="1.0" encoding="utf-8"?>
<sst xmlns="http://schemas.openxmlformats.org/spreadsheetml/2006/main" count="86" uniqueCount="73">
  <si>
    <t>CAPEX -- Eenmalige hardware-investering</t>
  </si>
  <si>
    <t>Provinciehuis Utrecht | SLTN / ICT Tribe Almere | mei 2026 | Concept</t>
  </si>
  <si>
    <t>Catalogusprijzen excl. BTW. Bron: merakishop.nl / licensewise.nl. SLTN-inkoopkorting 30% toegepast. BTW 21% over netto inkoopprijs. Meraki aggregation switches (MS425) en SFP-serverroom switches (MS425-16): 3-jarige licentie. MS150-24MP-4X prijs: indicatief op basis van NL-resellers (merakishop.nl op aanvraag).</t>
  </si>
  <si>
    <t>Component</t>
  </si>
  <si>
    <t>SKU</t>
  </si>
  <si>
    <t>Aantal</t>
  </si>
  <si>
    <t>Catalogusprijs/stuk
(excl. BTW)</t>
  </si>
  <si>
    <t>Netto/stuk
(−30%)</t>
  </si>
  <si>
    <t>Totaal netto
(excl. BTW)</t>
  </si>
  <si>
    <t>BTW 21%</t>
  </si>
  <si>
    <t>Totaal
(incl. BTW)</t>
  </si>
  <si>
    <t>FortiGate 600F hardware (HA-cluster, 2 nodes)</t>
  </si>
  <si>
    <t>FG-600F</t>
  </si>
  <si>
    <t>Meraki MS425-32 core switch L3 (Core-A)</t>
  </si>
  <si>
    <t>MS425-32-HW</t>
  </si>
  <si>
    <t>Meraki MS425-32 core switch L3 (Core-B)</t>
  </si>
  <si>
    <t>Meraki MS425-16 server switch-stack (2x gestacked)</t>
  </si>
  <si>
    <t>MS425-16-HW</t>
  </si>
  <si>
    <t>Meraki MS425-16 DMZ switch-stack (2x gestacked)</t>
  </si>
  <si>
    <t>Meraki MS150-24MP-4X BG PoE AP switch (24p mGig)</t>
  </si>
  <si>
    <t>MS150-24MP-4X</t>
  </si>
  <si>
    <t>Meraki MS150-48FP-4X BG PoE 48p (cam/toegang)</t>
  </si>
  <si>
    <t>MS150-48FP-4X</t>
  </si>
  <si>
    <t>Meraki MS150-48T-4X BG data switch SW-BG (1x gestacked met PoE)</t>
  </si>
  <si>
    <t>MS150-48T-4X</t>
  </si>
  <si>
    <t>Meraki MS150-48T-4X NK data 48p (10 NK x 2)</t>
  </si>
  <si>
    <t>Meraki MS150-24MP-4X NK PoE 24p (10 NK x 1)</t>
  </si>
  <si>
    <t>Meraki MR46 Wi-Fi 6 indoor AP (open vloer/kantine/Statenzaal)</t>
  </si>
  <si>
    <t>MR46-HW</t>
  </si>
  <si>
    <t>Meraki MR36 Wi-Fi 6 indoor AP (vergaderzalen/overige BG)</t>
  </si>
  <si>
    <t>MR36-HW</t>
  </si>
  <si>
    <t>TOTAAL CAPEX</t>
  </si>
  <si>
    <t>Bronnen: merakishop.nl (Meraki hardware, excl. BTW, mei 2026) | FortiGate 600F hardware: indicatief op basis van marktprijs NL-resellers (op offerte) | MS150-24MP-4X: indicatief o.b.v. Bechtle/ARP NL (merakishop.nl op aanvraag) | SLTN-inkoopkorting 30% conform opgave begeleider.</t>
  </si>
  <si>
    <t>OPEX -- Jaarlijks terugkerende licentiekosten</t>
  </si>
  <si>
    <t>Licenties zijn 3-jarig tenzij anders vermeld. Catalogusprijzen excl. BTW. SLTN-inkoopkorting 30% toegepast. BTW 21% over netto inkoopprijs. Meraki MS425 en MS150 licenties: 3-jaar termijn. MR licenties: 3-jaar termijn. Bedragen per jaar weergegeven (3-jaar catalogusprijs ÷ 3).</t>
  </si>
  <si>
    <t>SKU / licentienummer</t>
  </si>
  <si>
    <t>Catalogusprijs/stuk
3jr (excl. BTW)</t>
  </si>
  <si>
    <t>Netto/stuk
3jr (−30%)</t>
  </si>
  <si>
    <t>Totaal netto
3jr (excl. BTW)</t>
  </si>
  <si>
    <t>BTW 21%
3jr</t>
  </si>
  <si>
    <t>Totaal 3jr
(incl. BTW)</t>
  </si>
  <si>
    <t>FortiGate 600F UTP licentie (node 1)</t>
  </si>
  <si>
    <t>FC-10-0600F-950-02-12</t>
  </si>
  <si>
    <t>FortiGate 600F UTP licentie (node 2)</t>
  </si>
  <si>
    <t>FortiGate 600F FortiCare Premium (node 1)</t>
  </si>
  <si>
    <t>FC-10-0600F-247-02-12</t>
  </si>
  <si>
    <t>FortiGate 600F FortiCare Premium (node 2)</t>
  </si>
  <si>
    <t>Meraki MS425-32 Enterprise lic. 3jr (core, 2x)</t>
  </si>
  <si>
    <t>LIC-MS425-32-3YR</t>
  </si>
  <si>
    <t>Meraki MS425-16 Enterprise lic. 3jr (server/DMZ, 4x)</t>
  </si>
  <si>
    <t>LIC-MS425-16-3YR</t>
  </si>
  <si>
    <t>Meraki MS150-48 Enterprise lic. 3jr (NK data, 20x)</t>
  </si>
  <si>
    <t>LIC-MS150-48-3YR</t>
  </si>
  <si>
    <t>Meraki MS150-48 Enterprise lic. 3jr (BG data switch SW-BG, 1x)</t>
  </si>
  <si>
    <t>Meraki MS150-48 Adv. lic. 3jr (BG PoE 48p, 2x)</t>
  </si>
  <si>
    <t>LIC-MS150-48A-3YR</t>
  </si>
  <si>
    <t>Meraki MS150-24 Enterprise lic. 3jr (NK/BG PoE, 12x)</t>
  </si>
  <si>
    <t>LIC-MS150-24-3YR</t>
  </si>
  <si>
    <t>Meraki MR Enterprise lic. 3jr (91 APs)</t>
  </si>
  <si>
    <t>LIC-MR-ENT-3YR</t>
  </si>
  <si>
    <t>TOTAAL OPEX 3 jaar</t>
  </si>
  <si>
    <t>TOTAAL OPEX per jaar (÷ 3)</t>
  </si>
  <si>
    <t>Bronnen: licensewise.nl (FortiGate 600F UTP €11.109,52/jr + FortiCare Premium €3.228,40/jr, excl. BTW, mei 2026) | merakishop.nl (Meraki MS425/MS150/MR Enterprise licenties 3jr, excl. BTW, mei 2026) | SLTN-inkoopkorting 30% conform opgave begeleider.</t>
  </si>
  <si>
    <t>Budgetsamenvatting -- Totaalkosten</t>
  </si>
  <si>
    <t>Kostenpost</t>
  </si>
  <si>
    <t>Netto (excl. BTW)</t>
  </si>
  <si>
    <t>Totaal (incl. BTW)</t>
  </si>
  <si>
    <t>CAPEX -- Hardware (eenmalig)</t>
  </si>
  <si>
    <t>OPEX -- Licenties 3 jaar totaal</t>
  </si>
  <si>
    <t>OPEX -- Licenties per jaar</t>
  </si>
  <si>
    <t>TCO -- CAPEX + OPEX 3 jaar</t>
  </si>
  <si>
    <t>Aannames en voorbehouden
• Alle bedragen in EUR excl. BTW tenzij anders vermeld. BTW 21% berekend over netto inkoopprijs.
• Hardware catalogusprijzen: merakishop.nl (Meraki) en indicatieve marktprijs NL-resellers (FortiGate 600F).
• Licentiecatalogusprijzen: licensewise.nl (FortiGate) en merakishop.nl (Meraki), excl. BTW.
• SLTN-inkoopkorting 30% op catalogusprijs toegepast conform opgave begeleider.
• Meraki-licenties zijn per device verplicht -- zonder licentie geen cloudbeheer. Looptijd 3 jaar.
• MS425-serie (core + server/DMZ): aggregation switches, 3-jaar Enterprise licentie.
• MS150-24MP-4X: multigigabit PoE switch voor MR46 APs (2.5G interface). Prijs indicatief.
• FortiGate 600F hardware: exacte prijs via offerte; indicatief bedrag gehanteerd.
• FortiGate licenties: UTP-bundel (IPS, AV, webfiltering, antispam) + FortiCare Premium (NBD-support).
• TCO 3 jaar = CAPEX eenmalig + OPEX 3 jaar totaal.
• Patchpanelen, bekabeling, racks, UPS en klimaatbeheersing zijn NIET opgenomen.
• Dit is een conceptbudget ter indicatie. Definitieve prijs via offertetraject bij leverancier/SLTN.</t>
  </si>
  <si>
    <t>PM – nader te specificeren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</si>
</sst>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9"/>
      <color rgb="FF555555"/>
      <name val="Arial"/>
      <charset val="1"/>
    </font>
    <font>
      <i/>
      <sz val="8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1F1F1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1F1F1F"/>
      <name val="Arial"/>
      <family val="2"/>
      <charset val="1"/>
    </font>
    <font>
      <b/>
      <sz val="10"/>
      <color rgb="FF1F1F1F"/>
      <name val="Arial"/>
      <charset val="1"/>
    </font>
    <font>
      <sz val="10"/>
      <color rgb="FF008000"/>
      <name val="Arial"/>
      <charset val="1"/>
    </font>
    <font>
      <sz val="10"/>
      <color rgb="FF1F1F1F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F5F7FB"/>
      </patternFill>
    </fill>
    <fill>
      <patternFill patternType="solid">
        <fgColor rgb="FFFFFFFF"/>
        <bgColor rgb="FFF5F7FB"/>
      </patternFill>
    </fill>
    <fill>
      <patternFill patternType="solid">
        <fgColor rgb="FFF5F7FB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5F7FB"/>
        <bgColor indexed="64"/>
      </patternFill>
    </fill>
    <fill>
      <patternFill patternType="solid">
        <fgColor rgb="FF2E75B6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/>
    <xf numFmtId="0" fontId="3" fillId="4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indent="1"/>
    </xf>
    <xf numFmtId="164" fontId="10" fillId="5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 indent="1"/>
    </xf>
    <xf numFmtId="164" fontId="10" fillId="6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 indent="1"/>
    </xf>
    <xf numFmtId="0" fontId="12" fillId="7" borderId="0" xfId="0" applyFont="1" applyFill="1"/>
    <xf numFmtId="0" fontId="15" fillId="9" borderId="2" xfId="0" applyFont="1" applyFill="1" applyBorder="1" applyAlignment="1">
      <alignment horizontal="left" vertical="center" indent="1"/>
    </xf>
    <xf numFmtId="164" fontId="15" fillId="9" borderId="1" xfId="0" applyNumberFormat="1" applyFont="1" applyFill="1" applyBorder="1" applyAlignment="1">
      <alignment horizontal="right" vertical="center"/>
    </xf>
    <xf numFmtId="0" fontId="15" fillId="9" borderId="3" xfId="0" applyFont="1" applyFill="1" applyBorder="1"/>
    <xf numFmtId="164" fontId="6" fillId="7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164" fontId="6" fillId="8" borderId="1" xfId="0" applyNumberFormat="1" applyFont="1" applyFill="1" applyBorder="1" applyAlignment="1">
      <alignment horizontal="right" vertical="center"/>
    </xf>
    <xf numFmtId="164" fontId="7" fillId="8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left" vertical="center"/>
    </xf>
    <xf numFmtId="1" fontId="13" fillId="8" borderId="1" xfId="0" applyNumberFormat="1" applyFont="1" applyFill="1" applyBorder="1" applyAlignment="1">
      <alignment horizontal="center" vertical="center"/>
    </xf>
    <xf numFmtId="164" fontId="13" fillId="8" borderId="1" xfId="0" applyNumberFormat="1" applyFont="1" applyFill="1" applyBorder="1" applyAlignment="1">
      <alignment horizontal="right" vertical="center"/>
    </xf>
    <xf numFmtId="164" fontId="14" fillId="8" borderId="1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left" vertical="center" indent="1"/>
    </xf>
    <xf numFmtId="0" fontId="15" fillId="9" borderId="6" xfId="0" applyFont="1" applyFill="1" applyBorder="1"/>
    <xf numFmtId="164" fontId="15" fillId="9" borderId="5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left"/>
    </xf>
    <xf numFmtId="0" fontId="11" fillId="7" borderId="1" xfId="0" applyFont="1" applyFill="1" applyBorder="1" applyAlignment="1">
      <alignment horizontal="center"/>
    </xf>
    <xf numFmtId="164" fontId="11" fillId="7" borderId="1" xfId="0" applyNumberFormat="1" applyFont="1" applyFill="1" applyBorder="1" applyAlignment="1">
      <alignment horizontal="right"/>
    </xf>
    <xf numFmtId="164" fontId="11" fillId="7" borderId="1" xfId="0" applyNumberFormat="1" applyFont="1" applyFill="1" applyBorder="1" applyAlignment="1">
      <alignment horizontal="right"/>
    </xf>
    <xf numFmtId="1" fontId="6" fillId="5" borderId="1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/>
    <xf numFmtId="0" fontId="4" fillId="2" borderId="7" xfId="0" applyFont="1" applyFill="1" applyBorder="1" applyAlignment="1">
      <alignment horizontal="left" vertical="center" indent="1"/>
    </xf>
    <xf numFmtId="164" fontId="4" fillId="2" borderId="5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center"/>
    </xf>
    <xf numFmtId="164" fontId="11" fillId="8" borderId="1" xfId="0" applyNumberFormat="1" applyFont="1" applyFill="1" applyBorder="1" applyAlignment="1">
      <alignment horizontal="right"/>
    </xf>
    <xf numFmtId="164" fontId="11" fillId="8" borderId="1" xfId="0" applyNumberFormat="1" applyFont="1" applyFill="1" applyBorder="1" applyAlignment="1">
      <alignment horizontal="right"/>
    </xf>
    <xf numFmtId="0" fontId="11" fillId="8" borderId="1" xfId="0" applyFont="1" applyFill="1" applyBorder="1" applyAlignment="1"/>
    <xf numFmtId="0" fontId="11" fillId="8" borderId="1" xfId="0" applyFont="1" applyFill="1" applyBorder="1" applyAlignment="1"/>
    <xf numFmtId="0" fontId="5" fillId="5" borderId="1" xfId="0" applyFont="1" applyFill="1" applyBorder="1" applyAlignment="1"/>
    <xf numFmtId="0" fontId="8" fillId="6" borderId="1" xfId="0" applyFont="1" applyFill="1" applyBorder="1" applyAlignment="1"/>
    <xf numFmtId="0" fontId="5" fillId="6" borderId="1" xfId="0" applyFont="1" applyFill="1" applyBorder="1" applyAlignment="1"/>
    <xf numFmtId="0" fontId="8" fillId="5" borderId="1" xfId="0" applyFont="1" applyFill="1" applyBorder="1" applyAlignment="1"/>
    <xf numFmtId="0" fontId="5" fillId="7" borderId="1" xfId="0" applyFont="1" applyFill="1" applyBorder="1" applyAlignment="1"/>
    <xf numFmtId="0" fontId="5" fillId="8" borderId="1" xfId="0" applyFont="1" applyFill="1" applyBorder="1" applyAlignment="1"/>
    <xf numFmtId="0" fontId="11" fillId="8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0" fontId="7" fillId="8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7F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E7DD85-99AA-6241-8923-74F3B7A33C1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51cedb8-644d-4fb4-801a-8056acb6d0a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zoomScaleNormal="100" workbookViewId="0">
      <selection activeCell="B20" sqref="B20"/>
    </sheetView>
  </sheetViews>
  <sheetFormatPr baseColWidth="10" defaultColWidth="8.6640625" defaultRowHeight="15" x14ac:dyDescent="0.2"/>
  <cols>
    <col min="1" max="1" width="57" bestFit="1" customWidth="1"/>
    <col min="2" max="2" width="15.33203125" bestFit="1" customWidth="1"/>
    <col min="3" max="3" width="6.33203125" bestFit="1" customWidth="1"/>
    <col min="4" max="4" width="17.1640625" bestFit="1" customWidth="1"/>
    <col min="5" max="6" width="20" customWidth="1"/>
    <col min="7" max="7" width="14" customWidth="1"/>
    <col min="8" max="8" width="22" customWidth="1"/>
  </cols>
  <sheetData>
    <row r="1" spans="1:8" ht="25.5" customHeight="1" x14ac:dyDescent="0.2">
      <c r="A1" s="4" t="s">
        <v>0</v>
      </c>
      <c r="B1" s="4"/>
      <c r="C1" s="4"/>
      <c r="D1" s="4"/>
      <c r="E1" s="4"/>
      <c r="F1" s="4"/>
      <c r="G1" s="4"/>
      <c r="H1" s="4"/>
    </row>
    <row r="2" spans="1:8" ht="13.5" customHeight="1" x14ac:dyDescent="0.2">
      <c r="A2" s="3" t="s">
        <v>1</v>
      </c>
      <c r="B2" s="3"/>
      <c r="C2" s="3"/>
      <c r="D2" s="3"/>
      <c r="E2" s="3"/>
      <c r="F2" s="3"/>
      <c r="G2" s="3"/>
      <c r="H2" s="3"/>
    </row>
    <row r="3" spans="1:8" ht="30" customHeight="1" x14ac:dyDescent="0.2">
      <c r="A3" s="2" t="s">
        <v>2</v>
      </c>
      <c r="B3" s="2"/>
      <c r="C3" s="2"/>
      <c r="D3" s="2"/>
      <c r="E3" s="2"/>
      <c r="F3" s="2"/>
      <c r="G3" s="2"/>
      <c r="H3" s="2"/>
    </row>
    <row r="4" spans="1:8" ht="31.5" customHeight="1" x14ac:dyDescent="0.2">
      <c r="A4" s="29" t="s">
        <v>3</v>
      </c>
      <c r="B4" s="29" t="s">
        <v>4</v>
      </c>
      <c r="C4" s="29" t="s">
        <v>5</v>
      </c>
      <c r="D4" s="29" t="s">
        <v>6</v>
      </c>
      <c r="E4" s="29" t="s">
        <v>7</v>
      </c>
      <c r="F4" s="29" t="s">
        <v>8</v>
      </c>
      <c r="G4" s="29" t="s">
        <v>9</v>
      </c>
      <c r="H4" s="29" t="s">
        <v>10</v>
      </c>
    </row>
    <row r="5" spans="1:8" ht="15.75" customHeight="1" x14ac:dyDescent="0.2">
      <c r="A5" s="50" t="s">
        <v>11</v>
      </c>
      <c r="B5" s="57" t="s">
        <v>12</v>
      </c>
      <c r="C5" s="37">
        <v>2</v>
      </c>
      <c r="D5" s="7">
        <v>14000</v>
      </c>
      <c r="E5" s="8">
        <f t="shared" ref="E5:E16" si="0">D5*0.7</f>
        <v>9800</v>
      </c>
      <c r="F5" s="8">
        <f t="shared" ref="F5:F16" si="1">C5*E5</f>
        <v>19600</v>
      </c>
      <c r="G5" s="8">
        <f t="shared" ref="G5:G16" si="2">F5*0.21</f>
        <v>4116</v>
      </c>
      <c r="H5" s="8">
        <f t="shared" ref="H5:H16" si="3">F5+G5</f>
        <v>23716</v>
      </c>
    </row>
    <row r="6" spans="1:8" ht="15.75" customHeight="1" x14ac:dyDescent="0.2">
      <c r="A6" s="51" t="s">
        <v>13</v>
      </c>
      <c r="B6" s="58" t="s">
        <v>14</v>
      </c>
      <c r="C6" s="38">
        <v>1</v>
      </c>
      <c r="D6" s="9">
        <v>14800</v>
      </c>
      <c r="E6" s="10">
        <f t="shared" si="0"/>
        <v>10360</v>
      </c>
      <c r="F6" s="10">
        <f t="shared" si="1"/>
        <v>10360</v>
      </c>
      <c r="G6" s="10">
        <f t="shared" si="2"/>
        <v>2175.6</v>
      </c>
      <c r="H6" s="10">
        <f t="shared" si="3"/>
        <v>12535.6</v>
      </c>
    </row>
    <row r="7" spans="1:8" ht="15.75" customHeight="1" x14ac:dyDescent="0.2">
      <c r="A7" s="50" t="s">
        <v>15</v>
      </c>
      <c r="B7" s="57" t="s">
        <v>14</v>
      </c>
      <c r="C7" s="37">
        <v>1</v>
      </c>
      <c r="D7" s="7">
        <v>14800</v>
      </c>
      <c r="E7" s="8">
        <f t="shared" si="0"/>
        <v>10360</v>
      </c>
      <c r="F7" s="8">
        <f t="shared" si="1"/>
        <v>10360</v>
      </c>
      <c r="G7" s="8">
        <f t="shared" si="2"/>
        <v>2175.6</v>
      </c>
      <c r="H7" s="8">
        <f t="shared" si="3"/>
        <v>12535.6</v>
      </c>
    </row>
    <row r="8" spans="1:8" ht="15.75" customHeight="1" x14ac:dyDescent="0.2">
      <c r="A8" s="52" t="s">
        <v>16</v>
      </c>
      <c r="B8" s="58" t="s">
        <v>17</v>
      </c>
      <c r="C8" s="38">
        <v>2</v>
      </c>
      <c r="D8" s="9">
        <v>12260</v>
      </c>
      <c r="E8" s="10">
        <f t="shared" si="0"/>
        <v>8582</v>
      </c>
      <c r="F8" s="10">
        <f t="shared" si="1"/>
        <v>17164</v>
      </c>
      <c r="G8" s="10">
        <f t="shared" si="2"/>
        <v>3604.44</v>
      </c>
      <c r="H8" s="10">
        <f t="shared" si="3"/>
        <v>20768.439999999999</v>
      </c>
    </row>
    <row r="9" spans="1:8" ht="15.75" customHeight="1" x14ac:dyDescent="0.2">
      <c r="A9" s="53" t="s">
        <v>18</v>
      </c>
      <c r="B9" s="57" t="s">
        <v>17</v>
      </c>
      <c r="C9" s="37">
        <v>2</v>
      </c>
      <c r="D9" s="7">
        <v>12260</v>
      </c>
      <c r="E9" s="8">
        <f t="shared" si="0"/>
        <v>8582</v>
      </c>
      <c r="F9" s="8">
        <f t="shared" si="1"/>
        <v>17164</v>
      </c>
      <c r="G9" s="8">
        <f t="shared" si="2"/>
        <v>3604.44</v>
      </c>
      <c r="H9" s="8">
        <f t="shared" si="3"/>
        <v>20768.439999999999</v>
      </c>
    </row>
    <row r="10" spans="1:8" ht="15.75" customHeight="1" x14ac:dyDescent="0.2">
      <c r="A10" s="52" t="s">
        <v>19</v>
      </c>
      <c r="B10" s="58" t="s">
        <v>20</v>
      </c>
      <c r="C10" s="38">
        <v>2</v>
      </c>
      <c r="D10" s="9">
        <v>3063</v>
      </c>
      <c r="E10" s="10">
        <f t="shared" si="0"/>
        <v>2144.1</v>
      </c>
      <c r="F10" s="10">
        <f t="shared" si="1"/>
        <v>4288.2</v>
      </c>
      <c r="G10" s="10">
        <f t="shared" si="2"/>
        <v>900.52199999999993</v>
      </c>
      <c r="H10" s="10">
        <f t="shared" si="3"/>
        <v>5188.7219999999998</v>
      </c>
    </row>
    <row r="11" spans="1:8" ht="15.75" customHeight="1" x14ac:dyDescent="0.2">
      <c r="A11" s="50" t="s">
        <v>21</v>
      </c>
      <c r="B11" s="57" t="s">
        <v>22</v>
      </c>
      <c r="C11" s="37">
        <v>2</v>
      </c>
      <c r="D11" s="7">
        <v>3279.99</v>
      </c>
      <c r="E11" s="8">
        <f t="shared" si="0"/>
        <v>2295.9929999999995</v>
      </c>
      <c r="F11" s="8">
        <f t="shared" si="1"/>
        <v>4591.985999999999</v>
      </c>
      <c r="G11" s="8">
        <f t="shared" si="2"/>
        <v>964.31705999999974</v>
      </c>
      <c r="H11" s="8">
        <f t="shared" si="3"/>
        <v>5556.3030599999984</v>
      </c>
    </row>
    <row r="12" spans="1:8" ht="15.75" customHeight="1" x14ac:dyDescent="0.2">
      <c r="A12" s="49" t="s">
        <v>23</v>
      </c>
      <c r="B12" s="25" t="s">
        <v>24</v>
      </c>
      <c r="C12" s="26">
        <v>1</v>
      </c>
      <c r="D12" s="27">
        <v>2379.9899999999998</v>
      </c>
      <c r="E12" s="28">
        <f t="shared" si="0"/>
        <v>1665.9929999999997</v>
      </c>
      <c r="F12" s="28">
        <f t="shared" si="1"/>
        <v>1665.9929999999997</v>
      </c>
      <c r="G12" s="28">
        <f t="shared" si="2"/>
        <v>349.85852999999992</v>
      </c>
      <c r="H12" s="28">
        <f t="shared" si="3"/>
        <v>2015.8515299999997</v>
      </c>
    </row>
    <row r="13" spans="1:8" ht="15.75" customHeight="1" x14ac:dyDescent="0.2">
      <c r="A13" s="54" t="s">
        <v>25</v>
      </c>
      <c r="B13" s="59" t="s">
        <v>24</v>
      </c>
      <c r="C13" s="39">
        <v>20</v>
      </c>
      <c r="D13" s="21">
        <v>2379.9899999999998</v>
      </c>
      <c r="E13" s="22">
        <f t="shared" si="0"/>
        <v>1665.9929999999997</v>
      </c>
      <c r="F13" s="22">
        <f t="shared" si="1"/>
        <v>33319.859999999993</v>
      </c>
      <c r="G13" s="22">
        <f t="shared" si="2"/>
        <v>6997.1705999999986</v>
      </c>
      <c r="H13" s="22">
        <f t="shared" si="3"/>
        <v>40317.030599999991</v>
      </c>
    </row>
    <row r="14" spans="1:8" ht="15.75" customHeight="1" x14ac:dyDescent="0.2">
      <c r="A14" s="55" t="s">
        <v>26</v>
      </c>
      <c r="B14" s="60" t="s">
        <v>20</v>
      </c>
      <c r="C14" s="40">
        <v>10</v>
      </c>
      <c r="D14" s="23">
        <v>3063</v>
      </c>
      <c r="E14" s="24">
        <f t="shared" si="0"/>
        <v>2144.1</v>
      </c>
      <c r="F14" s="24">
        <f t="shared" si="1"/>
        <v>21441</v>
      </c>
      <c r="G14" s="24">
        <f t="shared" si="2"/>
        <v>4502.6099999999997</v>
      </c>
      <c r="H14" s="24">
        <f t="shared" si="3"/>
        <v>25943.61</v>
      </c>
    </row>
    <row r="15" spans="1:8" ht="15.75" customHeight="1" x14ac:dyDescent="0.2">
      <c r="A15" s="54" t="s">
        <v>27</v>
      </c>
      <c r="B15" s="59" t="s">
        <v>28</v>
      </c>
      <c r="C15" s="39">
        <v>68</v>
      </c>
      <c r="D15" s="21">
        <v>1124.99</v>
      </c>
      <c r="E15" s="22">
        <f t="shared" si="0"/>
        <v>787.49299999999994</v>
      </c>
      <c r="F15" s="22">
        <f t="shared" si="1"/>
        <v>53549.523999999998</v>
      </c>
      <c r="G15" s="22">
        <f t="shared" si="2"/>
        <v>11245.400039999999</v>
      </c>
      <c r="H15" s="22">
        <f t="shared" si="3"/>
        <v>64794.924039999998</v>
      </c>
    </row>
    <row r="16" spans="1:8" ht="15" customHeight="1" x14ac:dyDescent="0.2">
      <c r="A16" s="55" t="s">
        <v>29</v>
      </c>
      <c r="B16" s="60" t="s">
        <v>30</v>
      </c>
      <c r="C16" s="40">
        <v>23</v>
      </c>
      <c r="D16" s="23">
        <v>484.99</v>
      </c>
      <c r="E16" s="24">
        <f t="shared" si="0"/>
        <v>339.49299999999999</v>
      </c>
      <c r="F16" s="24">
        <f t="shared" si="1"/>
        <v>7808.3389999999999</v>
      </c>
      <c r="G16" s="24">
        <f t="shared" si="2"/>
        <v>1639.75119</v>
      </c>
      <c r="H16" s="24">
        <f t="shared" si="3"/>
        <v>9448.090189999999</v>
      </c>
    </row>
    <row r="17" spans="1:8" ht="18" customHeight="1" x14ac:dyDescent="0.2">
      <c r="A17" s="33" t="s">
        <v>72</v>
      </c>
      <c r="B17" s="41"/>
      <c r="C17" s="34"/>
      <c r="D17" s="35"/>
      <c r="E17" s="35"/>
      <c r="F17" s="36"/>
      <c r="G17" s="36"/>
      <c r="H17" s="36"/>
    </row>
    <row r="18" spans="1:8" ht="15" customHeight="1" x14ac:dyDescent="0.2">
      <c r="A18" s="30" t="s">
        <v>31</v>
      </c>
      <c r="B18" s="31"/>
      <c r="C18" s="31"/>
      <c r="D18" s="31"/>
      <c r="E18" s="31"/>
      <c r="F18" s="32">
        <f>SUM(F5:F17)</f>
        <v>201312.902</v>
      </c>
      <c r="G18" s="32">
        <f>SUM(G5:G17)</f>
        <v>42275.709420000007</v>
      </c>
      <c r="H18" s="32">
        <f>SUM(H5:H17)</f>
        <v>243588.61142</v>
      </c>
    </row>
    <row r="19" spans="1:8" ht="30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54.75" customHeight="1" x14ac:dyDescent="0.2">
      <c r="A20" s="5" t="s">
        <v>32</v>
      </c>
    </row>
  </sheetData>
  <mergeCells count="5">
    <mergeCell ref="A1:H1"/>
    <mergeCell ref="A2:H2"/>
    <mergeCell ref="A3:H3"/>
    <mergeCell ref="A17:E17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zoomScaleNormal="100" workbookViewId="0">
      <selection activeCell="A5" sqref="A5:A15"/>
    </sheetView>
  </sheetViews>
  <sheetFormatPr baseColWidth="10" defaultColWidth="8.6640625" defaultRowHeight="15" x14ac:dyDescent="0.2"/>
  <cols>
    <col min="1" max="1" width="51.1640625" bestFit="1" customWidth="1"/>
    <col min="2" max="2" width="21" bestFit="1" customWidth="1"/>
    <col min="3" max="3" width="6.33203125" bestFit="1" customWidth="1"/>
    <col min="4" max="4" width="17.1640625" bestFit="1" customWidth="1"/>
    <col min="5" max="6" width="20" customWidth="1"/>
    <col min="7" max="7" width="14" customWidth="1"/>
    <col min="8" max="8" width="22" customWidth="1"/>
  </cols>
  <sheetData>
    <row r="1" spans="1:8" ht="25.5" customHeight="1" x14ac:dyDescent="0.2">
      <c r="A1" s="4" t="s">
        <v>33</v>
      </c>
      <c r="B1" s="4"/>
      <c r="C1" s="4"/>
      <c r="D1" s="4"/>
      <c r="E1" s="4"/>
      <c r="F1" s="4"/>
      <c r="G1" s="4"/>
      <c r="H1" s="4"/>
    </row>
    <row r="2" spans="1:8" ht="13.5" customHeight="1" x14ac:dyDescent="0.2">
      <c r="A2" s="3" t="s">
        <v>1</v>
      </c>
      <c r="B2" s="3"/>
      <c r="C2" s="3"/>
      <c r="D2" s="3"/>
      <c r="E2" s="3"/>
      <c r="F2" s="3"/>
      <c r="G2" s="3"/>
      <c r="H2" s="3"/>
    </row>
    <row r="3" spans="1:8" ht="30" customHeight="1" x14ac:dyDescent="0.2">
      <c r="A3" s="2" t="s">
        <v>34</v>
      </c>
      <c r="B3" s="2"/>
      <c r="C3" s="2"/>
      <c r="D3" s="2"/>
      <c r="E3" s="2"/>
      <c r="F3" s="2"/>
      <c r="G3" s="2"/>
      <c r="H3" s="2"/>
    </row>
    <row r="4" spans="1:8" ht="31.5" customHeight="1" x14ac:dyDescent="0.2">
      <c r="A4" s="29" t="s">
        <v>3</v>
      </c>
      <c r="B4" s="29" t="s">
        <v>35</v>
      </c>
      <c r="C4" s="29" t="s">
        <v>5</v>
      </c>
      <c r="D4" s="29" t="s">
        <v>36</v>
      </c>
      <c r="E4" s="29" t="s">
        <v>37</v>
      </c>
      <c r="F4" s="29" t="s">
        <v>38</v>
      </c>
      <c r="G4" s="29" t="s">
        <v>39</v>
      </c>
      <c r="H4" s="29" t="s">
        <v>40</v>
      </c>
    </row>
    <row r="5" spans="1:8" ht="15.75" customHeight="1" x14ac:dyDescent="0.2">
      <c r="A5" s="65" t="s">
        <v>41</v>
      </c>
      <c r="B5" s="61" t="s">
        <v>42</v>
      </c>
      <c r="C5" s="37">
        <v>1</v>
      </c>
      <c r="D5" s="7">
        <v>33328.559999999998</v>
      </c>
      <c r="E5" s="8">
        <f t="shared" ref="E5:E15" si="0">D5*0.7</f>
        <v>23329.991999999998</v>
      </c>
      <c r="F5" s="8">
        <f t="shared" ref="F5:F15" si="1">C5*E5</f>
        <v>23329.991999999998</v>
      </c>
      <c r="G5" s="8">
        <f t="shared" ref="G5:G15" si="2">F5*0.21</f>
        <v>4899.2983199999999</v>
      </c>
      <c r="H5" s="8">
        <f t="shared" ref="H5:H15" si="3">F5+G5</f>
        <v>28229.29032</v>
      </c>
    </row>
    <row r="6" spans="1:8" ht="15.75" customHeight="1" x14ac:dyDescent="0.2">
      <c r="A6" s="66" t="s">
        <v>43</v>
      </c>
      <c r="B6" s="62" t="s">
        <v>42</v>
      </c>
      <c r="C6" s="38">
        <v>1</v>
      </c>
      <c r="D6" s="9">
        <v>33328.559999999998</v>
      </c>
      <c r="E6" s="10">
        <f t="shared" si="0"/>
        <v>23329.991999999998</v>
      </c>
      <c r="F6" s="10">
        <f t="shared" si="1"/>
        <v>23329.991999999998</v>
      </c>
      <c r="G6" s="10">
        <f t="shared" si="2"/>
        <v>4899.2983199999999</v>
      </c>
      <c r="H6" s="10">
        <f t="shared" si="3"/>
        <v>28229.29032</v>
      </c>
    </row>
    <row r="7" spans="1:8" ht="15.75" customHeight="1" x14ac:dyDescent="0.2">
      <c r="A7" s="65" t="s">
        <v>44</v>
      </c>
      <c r="B7" s="61" t="s">
        <v>45</v>
      </c>
      <c r="C7" s="37">
        <v>1</v>
      </c>
      <c r="D7" s="7">
        <v>9685.2000000000007</v>
      </c>
      <c r="E7" s="8">
        <f t="shared" si="0"/>
        <v>6779.64</v>
      </c>
      <c r="F7" s="8">
        <f t="shared" si="1"/>
        <v>6779.64</v>
      </c>
      <c r="G7" s="8">
        <f t="shared" si="2"/>
        <v>1423.7244000000001</v>
      </c>
      <c r="H7" s="8">
        <f t="shared" si="3"/>
        <v>8203.3644000000004</v>
      </c>
    </row>
    <row r="8" spans="1:8" ht="15.75" customHeight="1" x14ac:dyDescent="0.2">
      <c r="A8" s="66" t="s">
        <v>46</v>
      </c>
      <c r="B8" s="62" t="s">
        <v>45</v>
      </c>
      <c r="C8" s="38">
        <v>1</v>
      </c>
      <c r="D8" s="9">
        <v>9685.2000000000007</v>
      </c>
      <c r="E8" s="10">
        <f t="shared" si="0"/>
        <v>6779.64</v>
      </c>
      <c r="F8" s="10">
        <f t="shared" si="1"/>
        <v>6779.64</v>
      </c>
      <c r="G8" s="10">
        <f t="shared" si="2"/>
        <v>1423.7244000000001</v>
      </c>
      <c r="H8" s="10">
        <f t="shared" si="3"/>
        <v>8203.3644000000004</v>
      </c>
    </row>
    <row r="9" spans="1:8" ht="15.75" customHeight="1" x14ac:dyDescent="0.2">
      <c r="A9" s="65" t="s">
        <v>47</v>
      </c>
      <c r="B9" s="61" t="s">
        <v>48</v>
      </c>
      <c r="C9" s="37">
        <v>2</v>
      </c>
      <c r="D9" s="7">
        <v>1650</v>
      </c>
      <c r="E9" s="8">
        <f t="shared" si="0"/>
        <v>1155</v>
      </c>
      <c r="F9" s="8">
        <f t="shared" si="1"/>
        <v>2310</v>
      </c>
      <c r="G9" s="8">
        <f t="shared" si="2"/>
        <v>485.09999999999997</v>
      </c>
      <c r="H9" s="8">
        <f t="shared" si="3"/>
        <v>2795.1</v>
      </c>
    </row>
    <row r="10" spans="1:8" ht="15.75" customHeight="1" x14ac:dyDescent="0.2">
      <c r="A10" s="66" t="s">
        <v>49</v>
      </c>
      <c r="B10" s="62" t="s">
        <v>50</v>
      </c>
      <c r="C10" s="38">
        <v>4</v>
      </c>
      <c r="D10" s="9">
        <v>1700</v>
      </c>
      <c r="E10" s="10">
        <f t="shared" si="0"/>
        <v>1190</v>
      </c>
      <c r="F10" s="10">
        <f t="shared" si="1"/>
        <v>4760</v>
      </c>
      <c r="G10" s="10">
        <f t="shared" si="2"/>
        <v>999.59999999999991</v>
      </c>
      <c r="H10" s="10">
        <f t="shared" si="3"/>
        <v>5759.6</v>
      </c>
    </row>
    <row r="11" spans="1:8" ht="15.75" customHeight="1" x14ac:dyDescent="0.2">
      <c r="A11" s="65" t="s">
        <v>51</v>
      </c>
      <c r="B11" s="61" t="s">
        <v>52</v>
      </c>
      <c r="C11" s="37">
        <v>20</v>
      </c>
      <c r="D11" s="7">
        <v>309.5</v>
      </c>
      <c r="E11" s="8">
        <f t="shared" si="0"/>
        <v>216.64999999999998</v>
      </c>
      <c r="F11" s="8">
        <f t="shared" si="1"/>
        <v>4333</v>
      </c>
      <c r="G11" s="8">
        <f t="shared" si="2"/>
        <v>909.93</v>
      </c>
      <c r="H11" s="8">
        <f t="shared" si="3"/>
        <v>5242.93</v>
      </c>
    </row>
    <row r="12" spans="1:8" ht="15.75" customHeight="1" x14ac:dyDescent="0.2">
      <c r="A12" s="25" t="s">
        <v>53</v>
      </c>
      <c r="B12" s="56" t="s">
        <v>52</v>
      </c>
      <c r="C12" s="26">
        <v>1</v>
      </c>
      <c r="D12" s="27">
        <v>309.5</v>
      </c>
      <c r="E12" s="28">
        <f t="shared" si="0"/>
        <v>216.64999999999998</v>
      </c>
      <c r="F12" s="28">
        <f t="shared" si="1"/>
        <v>216.64999999999998</v>
      </c>
      <c r="G12" s="28">
        <f t="shared" si="2"/>
        <v>45.49649999999999</v>
      </c>
      <c r="H12" s="28">
        <f t="shared" si="3"/>
        <v>262.14649999999995</v>
      </c>
    </row>
    <row r="13" spans="1:8" ht="15.75" customHeight="1" x14ac:dyDescent="0.2">
      <c r="A13" s="67" t="s">
        <v>54</v>
      </c>
      <c r="B13" s="63" t="s">
        <v>55</v>
      </c>
      <c r="C13" s="39">
        <v>2</v>
      </c>
      <c r="D13" s="21">
        <v>639.5</v>
      </c>
      <c r="E13" s="22">
        <f t="shared" si="0"/>
        <v>447.65</v>
      </c>
      <c r="F13" s="22">
        <f t="shared" si="1"/>
        <v>895.3</v>
      </c>
      <c r="G13" s="22">
        <f t="shared" si="2"/>
        <v>188.01299999999998</v>
      </c>
      <c r="H13" s="22">
        <f t="shared" si="3"/>
        <v>1083.3129999999999</v>
      </c>
    </row>
    <row r="14" spans="1:8" ht="15.75" customHeight="1" x14ac:dyDescent="0.2">
      <c r="A14" s="68" t="s">
        <v>56</v>
      </c>
      <c r="B14" s="64" t="s">
        <v>57</v>
      </c>
      <c r="C14" s="40">
        <v>12</v>
      </c>
      <c r="D14" s="23">
        <v>309.5</v>
      </c>
      <c r="E14" s="24">
        <f t="shared" si="0"/>
        <v>216.64999999999998</v>
      </c>
      <c r="F14" s="24">
        <f t="shared" si="1"/>
        <v>2599.7999999999997</v>
      </c>
      <c r="G14" s="24">
        <f t="shared" si="2"/>
        <v>545.95799999999997</v>
      </c>
      <c r="H14" s="24">
        <f t="shared" si="3"/>
        <v>3145.7579999999998</v>
      </c>
    </row>
    <row r="15" spans="1:8" ht="15" customHeight="1" x14ac:dyDescent="0.2">
      <c r="A15" s="67" t="s">
        <v>58</v>
      </c>
      <c r="B15" s="63" t="s">
        <v>59</v>
      </c>
      <c r="C15" s="39">
        <v>91</v>
      </c>
      <c r="D15" s="21">
        <v>240</v>
      </c>
      <c r="E15" s="22">
        <f t="shared" si="0"/>
        <v>168</v>
      </c>
      <c r="F15" s="22">
        <f t="shared" si="1"/>
        <v>15288</v>
      </c>
      <c r="G15" s="22">
        <f t="shared" si="2"/>
        <v>3210.48</v>
      </c>
      <c r="H15" s="22">
        <f t="shared" si="3"/>
        <v>18498.48</v>
      </c>
    </row>
    <row r="16" spans="1:8" ht="18" customHeight="1" x14ac:dyDescent="0.2">
      <c r="A16" s="44" t="s">
        <v>72</v>
      </c>
      <c r="B16" s="48"/>
      <c r="C16" s="45"/>
      <c r="D16" s="46"/>
      <c r="E16" s="46"/>
      <c r="F16" s="47"/>
      <c r="G16" s="47"/>
      <c r="H16" s="47"/>
    </row>
    <row r="17" spans="1:8" ht="18" customHeight="1" x14ac:dyDescent="0.2">
      <c r="A17" s="42" t="s">
        <v>60</v>
      </c>
      <c r="B17" s="42"/>
      <c r="C17" s="42"/>
      <c r="D17" s="42"/>
      <c r="E17" s="42"/>
      <c r="F17" s="43">
        <f>SUM(F5:F16)</f>
        <v>90622.013999999996</v>
      </c>
      <c r="G17" s="43">
        <f>SUM(G5:G16)</f>
        <v>19030.622940000001</v>
      </c>
      <c r="H17" s="43">
        <f>SUM(H5:H16)</f>
        <v>109652.63694000001</v>
      </c>
    </row>
    <row r="18" spans="1:8" ht="15" customHeight="1" x14ac:dyDescent="0.2">
      <c r="A18" s="18" t="s">
        <v>61</v>
      </c>
      <c r="B18" s="20"/>
      <c r="C18" s="20"/>
      <c r="D18" s="20"/>
      <c r="E18" s="20"/>
      <c r="F18" s="19">
        <f>F17/3</f>
        <v>30207.338</v>
      </c>
      <c r="G18" s="19">
        <f>G17/3</f>
        <v>6343.5409800000007</v>
      </c>
      <c r="H18" s="19">
        <f>H17/3</f>
        <v>36550.878980000001</v>
      </c>
    </row>
    <row r="19" spans="1:8" ht="30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54.75" customHeight="1" x14ac:dyDescent="0.2">
      <c r="A20" s="5" t="s">
        <v>62</v>
      </c>
    </row>
  </sheetData>
  <mergeCells count="6">
    <mergeCell ref="A19:H19"/>
    <mergeCell ref="A1:H1"/>
    <mergeCell ref="A2:H2"/>
    <mergeCell ref="A3:H3"/>
    <mergeCell ref="A16:E16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tabSelected="1" zoomScaleNormal="100" workbookViewId="0">
      <selection sqref="A1:D1"/>
    </sheetView>
  </sheetViews>
  <sheetFormatPr baseColWidth="10" defaultColWidth="8.6640625" defaultRowHeight="15" x14ac:dyDescent="0.2"/>
  <cols>
    <col min="1" max="1" width="44" customWidth="1"/>
    <col min="2" max="2" width="22" customWidth="1"/>
    <col min="3" max="3" width="14" customWidth="1"/>
    <col min="4" max="4" width="22" customWidth="1"/>
  </cols>
  <sheetData>
    <row r="1" spans="1:4" ht="25.5" customHeight="1" x14ac:dyDescent="0.2">
      <c r="A1" s="4" t="s">
        <v>63</v>
      </c>
      <c r="B1" s="4"/>
      <c r="C1" s="4"/>
      <c r="D1" s="4"/>
    </row>
    <row r="2" spans="1:4" ht="13.5" customHeight="1" x14ac:dyDescent="0.2">
      <c r="A2" s="3" t="s">
        <v>1</v>
      </c>
      <c r="B2" s="3"/>
      <c r="C2" s="3"/>
      <c r="D2" s="3"/>
    </row>
    <row r="3" spans="1:4" ht="18" customHeight="1" x14ac:dyDescent="0.2">
      <c r="A3" s="6" t="s">
        <v>64</v>
      </c>
      <c r="B3" s="6" t="s">
        <v>65</v>
      </c>
      <c r="C3" s="6" t="s">
        <v>9</v>
      </c>
      <c r="D3" s="6" t="s">
        <v>66</v>
      </c>
    </row>
    <row r="4" spans="1:4" ht="15.75" customHeight="1" x14ac:dyDescent="0.2">
      <c r="A4" s="12" t="s">
        <v>67</v>
      </c>
      <c r="B4" s="13">
        <f>'CAPEX -- Hardware'!F18</f>
        <v>201312.902</v>
      </c>
      <c r="C4" s="13">
        <f>'CAPEX -- Hardware'!G18</f>
        <v>42275.709420000007</v>
      </c>
      <c r="D4" s="13">
        <f>'CAPEX -- Hardware'!H18</f>
        <v>243588.61142</v>
      </c>
    </row>
    <row r="5" spans="1:4" ht="15.75" customHeight="1" x14ac:dyDescent="0.2">
      <c r="A5" s="14" t="s">
        <v>68</v>
      </c>
      <c r="B5" s="15">
        <f>'OPEX -- Licenties'!F17</f>
        <v>90622.013999999996</v>
      </c>
      <c r="C5" s="15">
        <f>'OPEX -- Licenties'!G17</f>
        <v>19030.622940000001</v>
      </c>
      <c r="D5" s="15">
        <f>'OPEX -- Licenties'!H17</f>
        <v>109652.63694000001</v>
      </c>
    </row>
    <row r="6" spans="1:4" ht="15.75" customHeight="1" x14ac:dyDescent="0.2">
      <c r="A6" s="12" t="s">
        <v>69</v>
      </c>
      <c r="B6" s="13">
        <f>'OPEX -- Licenties'!F18</f>
        <v>30207.338</v>
      </c>
      <c r="C6" s="13">
        <f>'OPEX -- Licenties'!G18</f>
        <v>6343.5409800000007</v>
      </c>
      <c r="D6" s="13">
        <f>'OPEX -- Licenties'!H18</f>
        <v>36550.878980000001</v>
      </c>
    </row>
    <row r="7" spans="1:4" x14ac:dyDescent="0.2">
      <c r="A7" s="17"/>
      <c r="B7" s="17"/>
      <c r="C7" s="17"/>
      <c r="D7" s="17"/>
    </row>
    <row r="8" spans="1:4" ht="18" customHeight="1" x14ac:dyDescent="0.2">
      <c r="A8" s="16" t="s">
        <v>70</v>
      </c>
      <c r="B8" s="11">
        <f>B4+B5</f>
        <v>291934.91599999997</v>
      </c>
      <c r="C8" s="11">
        <f>C4+C5</f>
        <v>61306.332360000008</v>
      </c>
      <c r="D8" s="11">
        <f>D4+D5</f>
        <v>353241.24836000003</v>
      </c>
    </row>
    <row r="9" spans="1:4" x14ac:dyDescent="0.2">
      <c r="A9" s="17"/>
      <c r="B9" s="17"/>
      <c r="C9" s="17"/>
      <c r="D9" s="17"/>
    </row>
    <row r="10" spans="1:4" ht="129.75" customHeight="1" x14ac:dyDescent="0.2">
      <c r="A10" s="2" t="s">
        <v>71</v>
      </c>
      <c r="B10" s="2"/>
      <c r="C10" s="2"/>
      <c r="D10" s="2"/>
    </row>
  </sheetData>
  <mergeCells count="3">
    <mergeCell ref="A1:D1"/>
    <mergeCell ref="A2:D2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d1da80-c6fe-4ee0-9cbe-111820c4a392">
      <Terms xmlns="http://schemas.microsoft.com/office/infopath/2007/PartnerControls"/>
    </lcf76f155ced4ddcb4097134ff3c332f>
    <TaxCatchAll xmlns="cba57ae4-4814-449b-b8d4-638f14142a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E65F6E16C544C8DEBA0BBC86EA922" ma:contentTypeVersion="11" ma:contentTypeDescription="Een nieuw document maken." ma:contentTypeScope="" ma:versionID="b6b68c0edcb9183ee43c838418adf50b">
  <xsd:schema xmlns:xsd="http://www.w3.org/2001/XMLSchema" xmlns:xs="http://www.w3.org/2001/XMLSchema" xmlns:p="http://schemas.microsoft.com/office/2006/metadata/properties" xmlns:ns2="26d1da80-c6fe-4ee0-9cbe-111820c4a392" xmlns:ns3="cba57ae4-4814-449b-b8d4-638f14142a6e" targetNamespace="http://schemas.microsoft.com/office/2006/metadata/properties" ma:root="true" ma:fieldsID="487abc8cfb077f07d03aa7c52181f1a6" ns2:_="" ns3:_="">
    <xsd:import namespace="26d1da80-c6fe-4ee0-9cbe-111820c4a392"/>
    <xsd:import namespace="cba57ae4-4814-449b-b8d4-638f14142a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d1da80-c6fe-4ee0-9cbe-111820c4a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5f564dcc-d30d-477c-a61d-ad4d61a66d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57ae4-4814-449b-b8d4-638f14142a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425d95-8ad1-4fcd-b1b9-bbcd9f136bef}" ma:internalName="TaxCatchAll" ma:showField="CatchAllData" ma:web="cba57ae4-4814-449b-b8d4-638f14142a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BCC3A7-80E1-483D-8FF8-060C2EAC8554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6d1da80-c6fe-4ee0-9cbe-111820c4a392"/>
    <ds:schemaRef ds:uri="cba57ae4-4814-449b-b8d4-638f14142a6e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4B9B095-BC6D-43BE-961A-0536F98FE5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025D4-D62C-49EB-BF85-E5E5812094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d1da80-c6fe-4ee0-9cbe-111820c4a392"/>
    <ds:schemaRef ds:uri="cba57ae4-4814-449b-b8d4-638f14142a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CAPEX -- Hardware</vt:lpstr>
      <vt:lpstr>OPEX -- Licenties</vt:lpstr>
      <vt:lpstr>Samenvatting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Bastiaan van Oorde</cp:lastModifiedBy>
  <cp:revision>0</cp:revision>
  <dcterms:created xsi:type="dcterms:W3CDTF">2026-05-22T16:48:43Z</dcterms:created>
  <dcterms:modified xsi:type="dcterms:W3CDTF">2026-05-27T06:29:20Z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0x0101005F8E65F6E16C544C8DEBA0BBC86EA922</vt:lpwstr>
  </property>
  <property fmtid="{D5CDD505-2E9C-101B-9397-08002B2CF9AE}" pid="3" name="MediaServiceImageTags">
    <vt:lpwstr/>
  </property>
</Properties>
</file>